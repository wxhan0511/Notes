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D:\Notes\"/>
    </mc:Choice>
  </mc:AlternateContent>
  <xr:revisionPtr revIDLastSave="0" documentId="8_{C4316BE7-9C94-4A4F-998F-59013A941EB2}" xr6:coauthVersionLast="36" xr6:coauthVersionMax="36" xr10:uidLastSave="{00000000-0000-0000-0000-000000000000}"/>
  <bookViews>
    <workbookView xWindow="0" yWindow="0" windowWidth="21570" windowHeight="789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K11" i="1" l="1"/>
  <c r="K8" i="1"/>
  <c r="K9" i="1"/>
  <c r="K7" i="1"/>
  <c r="K4" i="1"/>
  <c r="K5" i="1"/>
  <c r="K6" i="1"/>
  <c r="K10" i="1"/>
  <c r="K3" i="1"/>
  <c r="K12" i="1" l="1"/>
</calcChain>
</file>

<file path=xl/sharedStrings.xml><?xml version="1.0" encoding="utf-8"?>
<sst xmlns="http://schemas.openxmlformats.org/spreadsheetml/2006/main" count="79" uniqueCount="43">
  <si>
    <t>前购情况</t>
  </si>
  <si>
    <t>本次需求</t>
  </si>
  <si>
    <t>名称</t>
  </si>
  <si>
    <t>规格</t>
  </si>
  <si>
    <t>数量</t>
  </si>
  <si>
    <t>单位</t>
  </si>
  <si>
    <t>含税单价</t>
  </si>
  <si>
    <t>OA单号</t>
  </si>
  <si>
    <t>电商平台</t>
  </si>
  <si>
    <t>店铺</t>
  </si>
  <si>
    <t>含税总价</t>
  </si>
  <si>
    <t>发票</t>
  </si>
  <si>
    <t>交期</t>
  </si>
  <si>
    <t>电商链接</t>
  </si>
  <si>
    <t>价格信息图片</t>
  </si>
  <si>
    <t>无</t>
  </si>
  <si>
    <t>京东</t>
    <phoneticPr fontId="9" type="noConversion"/>
  </si>
  <si>
    <t>https://item.jd.com/1719935.html#switch-sku</t>
    <phoneticPr fontId="9" type="noConversion"/>
  </si>
  <si>
    <t>电源适配器</t>
    <phoneticPr fontId="9" type="noConversion"/>
  </si>
  <si>
    <t>12V 2A</t>
    <phoneticPr fontId="9" type="noConversion"/>
  </si>
  <si>
    <t>个</t>
    <phoneticPr fontId="9" type="noConversion"/>
  </si>
  <si>
    <t>https://ic-item.jd.com/100251408812.html</t>
    <phoneticPr fontId="9" type="noConversion"/>
  </si>
  <si>
    <t>保险丝</t>
    <phoneticPr fontId="9" type="noConversion"/>
  </si>
  <si>
    <t>10种常见规格每种5只</t>
    <phoneticPr fontId="9" type="noConversion"/>
  </si>
  <si>
    <t>套</t>
    <phoneticPr fontId="9" type="noConversion"/>
  </si>
  <si>
    <t>扎带</t>
    <phoneticPr fontId="9" type="noConversion"/>
  </si>
  <si>
    <t>2.5mm*150mm</t>
    <phoneticPr fontId="9" type="noConversion"/>
  </si>
  <si>
    <t>包</t>
    <phoneticPr fontId="9" type="noConversion"/>
  </si>
  <si>
    <t>https://item.jd.com/100008662806.html#switch-sku</t>
    <phoneticPr fontId="9" type="noConversion"/>
  </si>
  <si>
    <t>https://ic-item.jd.com/10148063121488.html#crumb-wrap</t>
    <phoneticPr fontId="9" type="noConversion"/>
  </si>
  <si>
    <t>核心板</t>
    <phoneticPr fontId="9" type="noConversion"/>
  </si>
  <si>
    <t>工业级 4+32</t>
    <phoneticPr fontId="9" type="noConversion"/>
  </si>
  <si>
    <t>https://ic-item.jd.com/10179184811687.html#crumb-wrap</t>
    <phoneticPr fontId="9" type="noConversion"/>
  </si>
  <si>
    <t>商业级 4+32</t>
    <phoneticPr fontId="9" type="noConversion"/>
  </si>
  <si>
    <t>商业级 16+128</t>
    <phoneticPr fontId="9" type="noConversion"/>
  </si>
  <si>
    <t>商业级 8+64</t>
    <phoneticPr fontId="9" type="noConversion"/>
  </si>
  <si>
    <t>https://item.jd.com/100055084962.html#switch-sku</t>
    <phoneticPr fontId="9" type="noConversion"/>
  </si>
  <si>
    <t>HUB</t>
    <phoneticPr fontId="9" type="noConversion"/>
  </si>
  <si>
    <t>【升级蓝光+升级编织线材】1.5米</t>
    <phoneticPr fontId="9" type="noConversion"/>
  </si>
  <si>
    <t>条</t>
    <phoneticPr fontId="9" type="noConversion"/>
  </si>
  <si>
    <t>https://item.jd.com/100148936688.html#switch-sku</t>
  </si>
  <si>
    <t>MICRO USB线</t>
    <phoneticPr fontId="9" type="noConversion"/>
  </si>
  <si>
    <t>1.5米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</si>
</sst>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\¥#,##0.00;\¥\-#,##0.00"/>
    <numFmt numFmtId="177" formatCode="\¥#,##0.00_);[Red]\(\¥#,##0.00\)"/>
  </numFmts>
  <fonts count="12" x14ac:knownFonts="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0"/>
      <color theme="1"/>
      <name val="等线"/>
      <charset val="134"/>
      <scheme val="minor"/>
    </font>
    <font>
      <sz val="48"/>
      <color theme="1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0"/>
      <color theme="1"/>
      <name val="等线"/>
      <charset val="134"/>
      <scheme val="minor"/>
    </font>
    <font>
      <sz val="10"/>
      <name val="等线"/>
      <charset val="134"/>
      <scheme val="minor"/>
    </font>
    <font>
      <u/>
      <sz val="11"/>
      <color theme="10"/>
      <name val="等线"/>
      <charset val="134"/>
      <scheme val="minor"/>
    </font>
    <font>
      <b/>
      <sz val="10"/>
      <name val="等线"/>
      <charset val="134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9"/>
      <name val="等线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5" tint="0.7999511703848384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2">
    <xf numFmtId="0" fontId="0" fillId="0" borderId="0" xfId="0"/>
    <xf numFmtId="0" fontId="2" fillId="2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4" fillId="3" borderId="4" xfId="0" applyFont="1" applyFill="1" applyBorder="1" applyAlignment="1" applyProtection="1">
      <alignment horizontal="center" vertical="center" wrapText="1"/>
    </xf>
    <xf numFmtId="176" fontId="5" fillId="0" borderId="4" xfId="0" applyNumberFormat="1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 wrapText="1"/>
    </xf>
    <xf numFmtId="177" fontId="6" fillId="4" borderId="4" xfId="0" applyNumberFormat="1" applyFont="1" applyFill="1" applyBorder="1" applyAlignment="1">
      <alignment horizontal="center" vertical="center"/>
    </xf>
    <xf numFmtId="0" fontId="7" fillId="0" borderId="4" xfId="1" applyFill="1" applyBorder="1" applyAlignment="1">
      <alignment horizontal="center" vertical="center" wrapText="1"/>
    </xf>
    <xf numFmtId="0" fontId="7" fillId="0" borderId="5" xfId="1" applyBorder="1" applyAlignment="1">
      <alignment vertical="center"/>
    </xf>
    <xf numFmtId="0" fontId="7" fillId="0" borderId="6" xfId="1" applyBorder="1" applyAlignment="1">
      <alignment vertical="center"/>
    </xf>
    <xf numFmtId="177" fontId="8" fillId="5" borderId="4" xfId="0" applyNumberFormat="1" applyFont="1" applyFill="1" applyBorder="1" applyAlignment="1">
      <alignment horizontal="center" vertical="center"/>
    </xf>
    <xf numFmtId="0" fontId="5" fillId="0" borderId="4" xfId="0" applyFont="1" applyFill="1" applyBorder="1"/>
    <xf numFmtId="0" fontId="5" fillId="0" borderId="4" xfId="0" applyFont="1" applyBorder="1"/>
    <xf numFmtId="0" fontId="10" fillId="0" borderId="4" xfId="0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4" xfId="0" applyFont="1" applyFill="1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colors>
    <mruColors>
      <color rgb="FF00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54429</xdr:colOff>
      <xdr:row>3</xdr:row>
      <xdr:rowOff>13608</xdr:rowOff>
    </xdr:from>
    <xdr:to>
      <xdr:col>14</xdr:col>
      <xdr:colOff>2871108</xdr:colOff>
      <xdr:row>3</xdr:row>
      <xdr:rowOff>1469116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9B40AB2A-2A0E-48A7-8837-7FC13EA0C8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20893" y="2217965"/>
          <a:ext cx="2816679" cy="1455508"/>
        </a:xfrm>
        <a:prstGeom prst="rect">
          <a:avLst/>
        </a:prstGeom>
      </xdr:spPr>
    </xdr:pic>
    <xdr:clientData/>
  </xdr:twoCellAnchor>
  <xdr:twoCellAnchor editAs="oneCell">
    <xdr:from>
      <xdr:col>14</xdr:col>
      <xdr:colOff>2</xdr:colOff>
      <xdr:row>4</xdr:row>
      <xdr:rowOff>2</xdr:rowOff>
    </xdr:from>
    <xdr:to>
      <xdr:col>14</xdr:col>
      <xdr:colOff>1163634</xdr:colOff>
      <xdr:row>4</xdr:row>
      <xdr:rowOff>847726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EB5884F0-4C3C-4503-9285-683647496F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48777" y="3695702"/>
          <a:ext cx="1163632" cy="847724"/>
        </a:xfrm>
        <a:prstGeom prst="rect">
          <a:avLst/>
        </a:prstGeom>
      </xdr:spPr>
    </xdr:pic>
    <xdr:clientData/>
  </xdr:twoCellAnchor>
  <xdr:twoCellAnchor editAs="oneCell">
    <xdr:from>
      <xdr:col>14</xdr:col>
      <xdr:colOff>1</xdr:colOff>
      <xdr:row>2</xdr:row>
      <xdr:rowOff>1</xdr:rowOff>
    </xdr:from>
    <xdr:to>
      <xdr:col>14</xdr:col>
      <xdr:colOff>1838325</xdr:colOff>
      <xdr:row>2</xdr:row>
      <xdr:rowOff>1455491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EB6EB740-7CEB-4693-8C73-1A086063B4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248776" y="704851"/>
          <a:ext cx="1838324" cy="145549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</xdr:row>
      <xdr:rowOff>0</xdr:rowOff>
    </xdr:from>
    <xdr:to>
      <xdr:col>15</xdr:col>
      <xdr:colOff>170704</xdr:colOff>
      <xdr:row>7</xdr:row>
      <xdr:rowOff>790255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7D87986-61D7-4971-A4D3-21E66A2F92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248775" y="4581525"/>
          <a:ext cx="5971429" cy="2561905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</xdr:row>
      <xdr:rowOff>1</xdr:rowOff>
    </xdr:from>
    <xdr:to>
      <xdr:col>14</xdr:col>
      <xdr:colOff>1266825</xdr:colOff>
      <xdr:row>10</xdr:row>
      <xdr:rowOff>878115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A405CB8-3244-4136-835B-634FDB4DA3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248775" y="9010651"/>
          <a:ext cx="1266825" cy="878114"/>
        </a:xfrm>
        <a:prstGeom prst="rect">
          <a:avLst/>
        </a:prstGeom>
      </xdr:spPr>
    </xdr:pic>
    <xdr:clientData/>
  </xdr:twoCellAnchor>
  <xdr:twoCellAnchor editAs="oneCell">
    <xdr:from>
      <xdr:col>14</xdr:col>
      <xdr:colOff>1</xdr:colOff>
      <xdr:row>8</xdr:row>
      <xdr:rowOff>0</xdr:rowOff>
    </xdr:from>
    <xdr:to>
      <xdr:col>14</xdr:col>
      <xdr:colOff>1809751</xdr:colOff>
      <xdr:row>9</xdr:row>
      <xdr:rowOff>4118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8EFA3894-B0FB-46F9-88E9-C79500845C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248776" y="7239000"/>
          <a:ext cx="1809750" cy="889943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9</xdr:row>
      <xdr:rowOff>0</xdr:rowOff>
    </xdr:from>
    <xdr:to>
      <xdr:col>14</xdr:col>
      <xdr:colOff>4218215</xdr:colOff>
      <xdr:row>9</xdr:row>
      <xdr:rowOff>822132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3B3D80E9-F0BC-46F9-82D1-A4C685280D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266464" y="8123464"/>
          <a:ext cx="4218215" cy="8221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tem.jd.com/100055084962.html" TargetMode="External"/><Relationship Id="rId3" Type="http://schemas.openxmlformats.org/officeDocument/2006/relationships/hyperlink" Target="https://item.jd.com/100008662806.html" TargetMode="External"/><Relationship Id="rId7" Type="http://schemas.openxmlformats.org/officeDocument/2006/relationships/hyperlink" Target="https://ic-item.jd.com/10148063121488.html" TargetMode="External"/><Relationship Id="rId2" Type="http://schemas.openxmlformats.org/officeDocument/2006/relationships/hyperlink" Target="https://ic-item.jd.com/100251408812.html" TargetMode="External"/><Relationship Id="rId1" Type="http://schemas.openxmlformats.org/officeDocument/2006/relationships/hyperlink" Target="https://item.jd.com/1719935.html" TargetMode="External"/><Relationship Id="rId6" Type="http://schemas.openxmlformats.org/officeDocument/2006/relationships/hyperlink" Target="https://ic-item.jd.com/10179184811687.html" TargetMode="External"/><Relationship Id="rId5" Type="http://schemas.openxmlformats.org/officeDocument/2006/relationships/hyperlink" Target="https://ic-item.jd.com/10148063121488.html" TargetMode="External"/><Relationship Id="rId10" Type="http://schemas.openxmlformats.org/officeDocument/2006/relationships/drawing" Target="../drawings/drawing1.xml"/><Relationship Id="rId4" Type="http://schemas.openxmlformats.org/officeDocument/2006/relationships/hyperlink" Target="https://ic-item.jd.com/10148063121488.html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"/>
  <sheetViews>
    <sheetView tabSelected="1" topLeftCell="M6" zoomScale="175" zoomScaleNormal="175" workbookViewId="0">
      <selection activeCell="O11" sqref="O11"/>
    </sheetView>
  </sheetViews>
  <sheetFormatPr defaultColWidth="9" defaultRowHeight="14.25" x14ac:dyDescent="0.2"/>
  <cols>
    <col min="1" max="1" width="11.625"/>
    <col min="2" max="2" width="10.125" customWidth="1"/>
    <col min="3" max="3" width="11.625" customWidth="1"/>
    <col min="4" max="4" width="6.125" customWidth="1"/>
    <col min="5" max="5" width="4.625" customWidth="1"/>
    <col min="6" max="7" width="6.375" customWidth="1"/>
    <col min="8" max="8" width="8.625" customWidth="1"/>
    <col min="9" max="9" width="6.5" customWidth="1"/>
    <col min="10" max="11" width="9.25" customWidth="1"/>
    <col min="12" max="12" width="10.625" customWidth="1"/>
    <col min="13" max="13" width="7.125" customWidth="1"/>
    <col min="14" max="14" width="13.125" customWidth="1"/>
    <col min="15" max="15" width="76.125" customWidth="1"/>
  </cols>
  <sheetData>
    <row r="1" spans="1:15" x14ac:dyDescent="0.2">
      <c r="B1" s="17"/>
      <c r="C1" s="18"/>
      <c r="D1" s="18"/>
      <c r="E1" s="19"/>
      <c r="F1" s="20" t="s">
        <v>0</v>
      </c>
      <c r="G1" s="20"/>
      <c r="H1" s="20" t="s">
        <v>1</v>
      </c>
      <c r="I1" s="20"/>
      <c r="J1" s="20"/>
      <c r="K1" s="20"/>
      <c r="L1" s="20"/>
      <c r="M1" s="20"/>
      <c r="N1" s="20"/>
      <c r="O1" s="20"/>
    </row>
    <row r="2" spans="1:15" ht="41.25" customHeight="1" x14ac:dyDescent="0.2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6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 ht="117.75" customHeight="1" x14ac:dyDescent="0.2">
      <c r="A3" s="2">
        <v>1</v>
      </c>
      <c r="B3" s="15" t="s">
        <v>18</v>
      </c>
      <c r="C3" s="15" t="s">
        <v>19</v>
      </c>
      <c r="D3" s="3">
        <v>20</v>
      </c>
      <c r="E3" s="16" t="s">
        <v>20</v>
      </c>
      <c r="F3" s="4" t="s">
        <v>15</v>
      </c>
      <c r="G3" s="4" t="s">
        <v>15</v>
      </c>
      <c r="H3" s="14" t="s">
        <v>16</v>
      </c>
      <c r="I3" s="6"/>
      <c r="J3" s="7">
        <v>39.9</v>
      </c>
      <c r="K3" s="7">
        <f>J3*D3</f>
        <v>798</v>
      </c>
      <c r="L3" s="6"/>
      <c r="M3" s="6"/>
      <c r="N3" s="8" t="s">
        <v>17</v>
      </c>
      <c r="O3" s="9"/>
    </row>
    <row r="4" spans="1:15" ht="117.75" customHeight="1" x14ac:dyDescent="0.2">
      <c r="A4" s="2">
        <v>2</v>
      </c>
      <c r="B4" s="15" t="s">
        <v>22</v>
      </c>
      <c r="C4" s="15" t="s">
        <v>23</v>
      </c>
      <c r="D4" s="3">
        <v>1</v>
      </c>
      <c r="E4" s="16" t="s">
        <v>24</v>
      </c>
      <c r="F4" s="4" t="s">
        <v>15</v>
      </c>
      <c r="G4" s="4" t="s">
        <v>15</v>
      </c>
      <c r="H4" s="14" t="s">
        <v>16</v>
      </c>
      <c r="I4" s="5"/>
      <c r="J4" s="7">
        <v>4.59</v>
      </c>
      <c r="K4" s="7">
        <f t="shared" ref="K4:K10" si="0">J4*D4</f>
        <v>4.59</v>
      </c>
      <c r="L4" s="6"/>
      <c r="M4" s="6"/>
      <c r="N4" s="8" t="s">
        <v>21</v>
      </c>
      <c r="O4" s="10"/>
    </row>
    <row r="5" spans="1:15" ht="69.95" customHeight="1" x14ac:dyDescent="0.2">
      <c r="A5" s="2">
        <v>3</v>
      </c>
      <c r="B5" s="15" t="s">
        <v>25</v>
      </c>
      <c r="C5" s="15" t="s">
        <v>26</v>
      </c>
      <c r="D5" s="3">
        <v>1</v>
      </c>
      <c r="E5" s="16" t="s">
        <v>27</v>
      </c>
      <c r="F5" s="4" t="s">
        <v>15</v>
      </c>
      <c r="G5" s="4" t="s">
        <v>15</v>
      </c>
      <c r="H5" s="14" t="s">
        <v>16</v>
      </c>
      <c r="I5" s="5"/>
      <c r="J5" s="7">
        <v>5.31</v>
      </c>
      <c r="K5" s="7">
        <f t="shared" si="0"/>
        <v>5.31</v>
      </c>
      <c r="L5" s="6"/>
      <c r="M5" s="6"/>
      <c r="N5" s="8" t="s">
        <v>28</v>
      </c>
    </row>
    <row r="6" spans="1:15" ht="69.95" customHeight="1" x14ac:dyDescent="0.2">
      <c r="A6" s="2">
        <v>4</v>
      </c>
      <c r="B6" s="15" t="s">
        <v>30</v>
      </c>
      <c r="C6" s="15" t="s">
        <v>31</v>
      </c>
      <c r="D6" s="3">
        <v>1</v>
      </c>
      <c r="E6" s="16" t="s">
        <v>20</v>
      </c>
      <c r="F6" s="4" t="s">
        <v>15</v>
      </c>
      <c r="G6" s="4" t="s">
        <v>15</v>
      </c>
      <c r="H6" s="14" t="s">
        <v>16</v>
      </c>
      <c r="I6" s="6"/>
      <c r="J6" s="7">
        <v>899</v>
      </c>
      <c r="K6" s="7">
        <f t="shared" si="0"/>
        <v>899</v>
      </c>
      <c r="L6" s="6"/>
      <c r="M6" s="6"/>
      <c r="N6" s="8" t="s">
        <v>29</v>
      </c>
    </row>
    <row r="7" spans="1:15" ht="69.95" customHeight="1" x14ac:dyDescent="0.2">
      <c r="A7" s="2">
        <v>5</v>
      </c>
      <c r="B7" s="15" t="s">
        <v>30</v>
      </c>
      <c r="C7" s="15" t="s">
        <v>34</v>
      </c>
      <c r="D7" s="3">
        <v>1</v>
      </c>
      <c r="E7" s="16" t="s">
        <v>20</v>
      </c>
      <c r="F7" s="4" t="s">
        <v>15</v>
      </c>
      <c r="G7" s="4" t="s">
        <v>15</v>
      </c>
      <c r="H7" s="14" t="s">
        <v>16</v>
      </c>
      <c r="I7" s="6"/>
      <c r="J7" s="7">
        <v>899</v>
      </c>
      <c r="K7" s="7">
        <f t="shared" ref="K7" si="1">J7*D7</f>
        <v>899</v>
      </c>
      <c r="L7" s="6"/>
      <c r="M7" s="6"/>
      <c r="N7" s="8" t="s">
        <v>29</v>
      </c>
    </row>
    <row r="8" spans="1:15" ht="69.95" customHeight="1" x14ac:dyDescent="0.2">
      <c r="A8" s="2">
        <v>6</v>
      </c>
      <c r="B8" s="15" t="s">
        <v>30</v>
      </c>
      <c r="C8" s="15" t="s">
        <v>35</v>
      </c>
      <c r="D8" s="3">
        <v>1</v>
      </c>
      <c r="E8" s="16" t="s">
        <v>20</v>
      </c>
      <c r="F8" s="4" t="s">
        <v>15</v>
      </c>
      <c r="G8" s="4" t="s">
        <v>15</v>
      </c>
      <c r="H8" s="14" t="s">
        <v>16</v>
      </c>
      <c r="I8" s="6"/>
      <c r="J8" s="7">
        <v>699</v>
      </c>
      <c r="K8" s="7">
        <f t="shared" ref="K8" si="2">J8*D8</f>
        <v>699</v>
      </c>
      <c r="L8" s="6"/>
      <c r="M8" s="6"/>
      <c r="N8" s="8" t="s">
        <v>29</v>
      </c>
    </row>
    <row r="9" spans="1:15" ht="69.95" customHeight="1" x14ac:dyDescent="0.2">
      <c r="A9" s="2">
        <v>7</v>
      </c>
      <c r="B9" s="15" t="s">
        <v>30</v>
      </c>
      <c r="C9" s="15" t="s">
        <v>33</v>
      </c>
      <c r="D9" s="3">
        <v>1</v>
      </c>
      <c r="E9" s="16" t="s">
        <v>20</v>
      </c>
      <c r="F9" s="4" t="s">
        <v>15</v>
      </c>
      <c r="G9" s="4" t="s">
        <v>15</v>
      </c>
      <c r="H9" s="14" t="s">
        <v>16</v>
      </c>
      <c r="I9" s="6"/>
      <c r="J9" s="7">
        <v>569</v>
      </c>
      <c r="K9" s="7">
        <f t="shared" ref="K9" si="3">J9*D9</f>
        <v>569</v>
      </c>
      <c r="L9" s="6"/>
      <c r="M9" s="6"/>
      <c r="N9" s="8" t="s">
        <v>32</v>
      </c>
    </row>
    <row r="10" spans="1:15" ht="69.95" customHeight="1" x14ac:dyDescent="0.2">
      <c r="A10" s="2">
        <v>8</v>
      </c>
      <c r="B10" s="15" t="s">
        <v>37</v>
      </c>
      <c r="C10" s="15" t="s">
        <v>38</v>
      </c>
      <c r="D10" s="3">
        <v>1</v>
      </c>
      <c r="E10" s="16" t="s">
        <v>39</v>
      </c>
      <c r="F10" s="4" t="s">
        <v>15</v>
      </c>
      <c r="G10" s="4" t="s">
        <v>15</v>
      </c>
      <c r="H10" s="14" t="s">
        <v>16</v>
      </c>
      <c r="I10" s="6"/>
      <c r="J10" s="7">
        <v>69.900000000000006</v>
      </c>
      <c r="K10" s="7">
        <f t="shared" si="0"/>
        <v>69.900000000000006</v>
      </c>
      <c r="L10" s="6"/>
      <c r="M10" s="6"/>
      <c r="N10" s="8" t="s">
        <v>36</v>
      </c>
    </row>
    <row r="11" spans="1:15" ht="69.95" customHeight="1" x14ac:dyDescent="0.2">
      <c r="A11" s="2">
        <v>9</v>
      </c>
      <c r="B11" s="15" t="s">
        <v>41</v>
      </c>
      <c r="C11" s="15" t="s">
        <v>42</v>
      </c>
      <c r="D11" s="3">
        <v>5</v>
      </c>
      <c r="E11" s="16" t="s">
        <v>39</v>
      </c>
      <c r="F11" s="4" t="s">
        <v>15</v>
      </c>
      <c r="G11" s="4" t="s">
        <v>15</v>
      </c>
      <c r="H11" s="14" t="s">
        <v>16</v>
      </c>
      <c r="I11" s="6"/>
      <c r="J11" s="7">
        <v>28</v>
      </c>
      <c r="K11" s="7">
        <f t="shared" ref="K11" si="4">J11*D11</f>
        <v>140</v>
      </c>
      <c r="L11" s="6"/>
      <c r="M11" s="6"/>
      <c r="N11" s="8" t="s">
        <v>40</v>
      </c>
    </row>
    <row r="12" spans="1:15" x14ac:dyDescent="0.2">
      <c r="B12" s="21"/>
      <c r="C12" s="21"/>
      <c r="D12" s="21"/>
      <c r="E12" s="21"/>
      <c r="F12" s="21"/>
      <c r="G12" s="21"/>
      <c r="H12" s="21"/>
      <c r="I12" s="21"/>
      <c r="J12" s="21"/>
      <c r="K12" s="11">
        <f>SUM(K3:K10)</f>
        <v>3943.8</v>
      </c>
      <c r="L12" s="12"/>
      <c r="M12" s="12"/>
      <c r="N12" s="6"/>
      <c r="O12" s="13"/>
    </row>
  </sheetData>
  <mergeCells count="4">
    <mergeCell ref="B1:E1"/>
    <mergeCell ref="F1:G1"/>
    <mergeCell ref="H1:O1"/>
    <mergeCell ref="B12:J12"/>
  </mergeCells>
  <phoneticPr fontId="9" type="noConversion"/>
  <hyperlinks>
    <hyperlink ref="N3" r:id="rId1" location="switch-sku" xr:uid="{30D29B59-62B4-448C-954E-1FEFF1DA461D}"/>
    <hyperlink ref="N4" r:id="rId2" xr:uid="{203BC548-3567-46D8-A2CA-99AD7C0FCCCC}"/>
    <hyperlink ref="N5" r:id="rId3" location="switch-sku" xr:uid="{812BBB76-0535-45F5-BDB5-5749E0DBD723}"/>
    <hyperlink ref="N6" r:id="rId4" location="crumb-wrap" xr:uid="{FA5AC4DE-8E80-4851-B142-BD472339692A}"/>
    <hyperlink ref="N7" r:id="rId5" location="crumb-wrap" xr:uid="{E96BDB9E-3218-4928-8641-AD7EE5AF6CAF}"/>
    <hyperlink ref="N9" r:id="rId6" location="crumb-wrap" xr:uid="{5D7DE1E6-EEF3-4B50-A44D-64A8F1D9E3BA}"/>
    <hyperlink ref="N8" r:id="rId7" location="crumb-wrap" xr:uid="{E3859F8D-B5AD-4EC1-8533-53214555AD34}"/>
    <hyperlink ref="N10" r:id="rId8" location="switch-sku" xr:uid="{F5729D69-9AF3-4D4F-B003-7BC12CEAD6C4}"/>
  </hyperlinks>
  <pageMargins left="0.7" right="0.7" top="0.75" bottom="0.75" header="0.3" footer="0.3"/>
  <pageSetup paperSize="9" orientation="portrait" r:id="rId9"/>
  <drawing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何宏艳</dc:creator>
  <cp:lastModifiedBy>韩文笑</cp:lastModifiedBy>
  <dcterms:created xsi:type="dcterms:W3CDTF">2015-06-05T18:19:00Z</dcterms:created>
  <dcterms:modified xsi:type="dcterms:W3CDTF">2026-01-14T09:12:04Z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C389FD0037734A9E9AFC6417C66F1EAD_12</vt:lpwstr>
  </property>
  <property fmtid="{D5CDD505-2E9C-101B-9397-08002B2CF9AE}" pid="3" name="KSOProductBuildVer">
    <vt:lpwstr>2052-12.1.0.21915</vt:lpwstr>
  </property>
</Properties>
</file>